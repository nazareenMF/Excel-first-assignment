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zar\Downloads\"/>
    </mc:Choice>
  </mc:AlternateContent>
  <xr:revisionPtr revIDLastSave="0" documentId="13_ncr:1_{6DDC22EC-ACD2-41EF-A8B5-335BBCC5F65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  <c r="H42" i="2"/>
  <c r="G39" i="2"/>
  <c r="G25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6" i="2"/>
  <c r="G27" i="2"/>
  <c r="G28" i="2"/>
  <c r="G29" i="2"/>
  <c r="G30" i="2"/>
  <c r="G31" i="2"/>
  <c r="G32" i="2"/>
  <c r="G33" i="2"/>
  <c r="G34" i="2"/>
  <c r="G35" i="2"/>
  <c r="G2" i="2"/>
  <c r="D44" i="2"/>
  <c r="F42" i="2"/>
  <c r="B42" i="2"/>
  <c r="D39" i="2"/>
  <c r="A39" i="2"/>
</calcChain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<sst xmlns="http://schemas.openxmlformats.org/spreadsheetml/2006/main" count="170" uniqueCount="121">
  <si>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</si>
  <si>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</si>
  <si>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</si>
  <si>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</si>
  <si>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</si>
  <si>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</si>
  <si>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</si>
  <si>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</si>
  <si>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</si>
  <si>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</si>
  <si>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</si>
  <si>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</si>
  <si>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</si>
  <si>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</si>
  <si>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</si>
  <si>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</si>
  <si>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</si>
  <si>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</si>
  <si>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</si>
  <si>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</si>
  <si>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</si>
  <si>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</si>
  <si>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</si>
  <si>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</si>
  <si>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</si>
  <si>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</si>
  <si>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</si>
  <si>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</si>
  <si>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</si>
  <si>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</si>
  <si>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</si>
  <si>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</si>
  <si>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</si>
  <si>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</si>
  <si>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</si>
  <si>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</si>
  <si>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</si>
  <si>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</si>
  <si>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</si>
  <si>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</si>
  <si>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</si>
  <si>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</si>
  <si>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</si>
  <si>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</si>
  <si>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</si>
  <si>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</si>
  <si>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</si>
  <si>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</si>
  <si>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</si>
  <si>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</si>
  <si>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</si>
  <si>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</si>
  <si>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</si>
  <si>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</si>
  <si>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</si>
  <si>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</si>
  <si>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</si>
  <si>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</si>
  <si>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</si>
  <si>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</si>
  <si>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</si>
  <si>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</si>
  <si>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</si>
  <si>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</si>
  <si>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</si>
  <si>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</si>
  <si>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</si>
  <si>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</si>
  <si>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</si>
  <si>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</si>
  <si>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</si>
  <si>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</si>
  <si>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</si>
  <si>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</si>
  <si>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</si>
  <si>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</si>
  <si>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</si>
  <si>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</si>
  <si>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</si>
  <si>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</si>
  <si>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</si>
  <si>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</si>
  <si>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</si>
  <si>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</si>
  <si>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</si>
  <si>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</si>
  <si>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</si>
  <si>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</si>
  <si>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</si>
  <si>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</si>
  <si>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</si>
  <si>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</si>
  <si>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</si>
  <si>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</si>
  <si>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</si>
  <si>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</si>
  <si>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</si>
  <si>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</si>
  <si>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</si>
  <si>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</si>
  <si>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</si>
  <si>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</si>
  <si>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</si>
  <si>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</si>
  <si>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</si>
  <si>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</si>
  <si>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</si>
  <si>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</si>
  <si>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</si>
  <si>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</si>
  <si>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TOTAL PRICE </t>
  </si>
  <si>
    <t>NO OF PRODUCTS IN THE DATASET</t>
  </si>
  <si>
    <t>AVERAGE</t>
  </si>
  <si>
    <t>MIN PRICE</t>
  </si>
  <si>
    <t>MAX PRICE</t>
  </si>
  <si>
    <t>Price Range</t>
  </si>
  <si>
    <t>TOTAL PRICE OF THE PRODUCTS IN THE ELECTRONICS CATEGORY</t>
  </si>
  <si>
    <t>NO OF PRODUCTS WITH PRICE LESS THAN $100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</si>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</sst>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0" fillId="4" borderId="0" xfId="0" applyFill="1"/>
    <xf numFmtId="0" fontId="7" fillId="4" borderId="0" xfId="0" applyFont="1" applyFill="1"/>
    <xf numFmtId="0" fontId="0" fillId="5" borderId="0" xfId="0" applyFill="1"/>
    <xf numFmtId="0" fontId="6" fillId="6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6" borderId="0" xfId="0" applyFill="1"/>
    <xf numFmtId="0" fontId="8" fillId="10" borderId="0" xfId="0" applyFont="1" applyFill="1" applyAlignment="1">
      <alignment horizontal="center"/>
    </xf>
    <xf numFmtId="0" fontId="7" fillId="7" borderId="0" xfId="0" applyFont="1" applyFill="1"/>
    <xf numFmtId="0" fontId="7" fillId="8" borderId="0" xfId="0" applyFont="1" applyFill="1"/>
    <xf numFmtId="0" fontId="7" fillId="11" borderId="0" xfId="0" applyFont="1" applyFill="1"/>
    <xf numFmtId="0" fontId="0" fillId="11" borderId="0" xfId="0" applyFill="1"/>
    <xf numFmtId="0" fontId="7" fillId="9" borderId="0" xfId="0" applyFont="1" applyFill="1"/>
    <xf numFmtId="0" fontId="7" fillId="12" borderId="0" xfId="0" applyFont="1" applyFill="1"/>
    <xf numFmtId="0" fontId="0" fillId="12" borderId="0" xfId="0" applyFill="1"/>
    <xf numFmtId="0" fontId="7" fillId="13" borderId="0" xfId="0" applyFont="1" applyFill="1"/>
    <xf numFmtId="0" fontId="0" fillId="1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15" zoomScaleNormal="100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1000"/>
  <sheetViews>
    <sheetView tabSelected="1" topLeftCell="A35" zoomScale="110" zoomScaleNormal="110" workbookViewId="0">
      <selection activeCell="H52" sqref="H52"/>
    </sheetView>
  </sheetViews>
  <sheetFormatPr defaultColWidth="12.5703125" defaultRowHeight="15" customHeight="1" x14ac:dyDescent="0.2"/>
  <cols>
    <col min="1" max="1" width="12.5703125" customWidth="1"/>
    <col min="2" max="2" width="14.140625" customWidth="1"/>
    <col min="3" max="6" width="12.5703125" customWidth="1"/>
    <col min="7" max="7" width="17" customWidth="1"/>
  </cols>
  <sheetData>
    <row r="1" spans="1:10" ht="15.75" customHeight="1" x14ac:dyDescent="0.2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6" t="s">
        <v>115</v>
      </c>
      <c r="H1" s="5" t="s">
        <v>118</v>
      </c>
      <c r="I1" s="5" t="s">
        <v>119</v>
      </c>
      <c r="J1" s="5" t="s">
        <v>120</v>
      </c>
    </row>
    <row r="2" spans="1:10" ht="15.75" customHeight="1" x14ac:dyDescent="0.2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 t="str">
        <f>IF(Dataset!D2&gt;=500,"HIGH PRICE","STANDARD PRICE")</f>
        <v>HIGH PRICE</v>
      </c>
      <c r="H2" t="str">
        <f>LEFT(A2, 2)</f>
        <v>28</v>
      </c>
      <c r="I2" t="str">
        <f>RIGHT(A2, 2)</f>
        <v>US</v>
      </c>
      <c r="J2" t="str">
        <f>MID(A2, 4,3)</f>
        <v>JAN</v>
      </c>
    </row>
    <row r="3" spans="1:10" ht="15.75" customHeight="1" x14ac:dyDescent="0.2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11" t="str">
        <f>IF(Dataset!D3&gt;=500,"HIGH PRICE","STANDARD PRICE")</f>
        <v>STANDARD PRICE</v>
      </c>
      <c r="H3" s="15" t="str">
        <f t="shared" ref="H3:H35" si="0">LEFT(A3, 2)</f>
        <v>15</v>
      </c>
      <c r="I3" s="15" t="str">
        <f t="shared" ref="I3:I35" si="1">RIGHT(A3, 2)</f>
        <v>US</v>
      </c>
      <c r="J3" s="15" t="str">
        <f t="shared" ref="J3:J35" si="2">MID(A3, 4,3)</f>
        <v>FEB</v>
      </c>
    </row>
    <row r="4" spans="1:10" ht="15.75" customHeight="1" x14ac:dyDescent="0.2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 t="str">
        <f>IF(Dataset!D4&gt;=500,"HIGH PRICE","STANDARD PRICE")</f>
        <v>STANDARD PRICE</v>
      </c>
      <c r="H4" t="str">
        <f t="shared" si="0"/>
        <v>03</v>
      </c>
      <c r="I4" t="str">
        <f t="shared" si="1"/>
        <v>US</v>
      </c>
      <c r="J4" t="str">
        <f t="shared" si="2"/>
        <v>MAR</v>
      </c>
    </row>
    <row r="5" spans="1:10" ht="15.75" customHeight="1" x14ac:dyDescent="0.2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11" t="str">
        <f>IF(Dataset!D5&gt;=500,"HIGH PRICE","STANDARD PRICE")</f>
        <v>HIGH PRICE</v>
      </c>
      <c r="H5" s="15" t="str">
        <f t="shared" si="0"/>
        <v>11</v>
      </c>
      <c r="I5" s="15" t="str">
        <f t="shared" si="1"/>
        <v>US</v>
      </c>
      <c r="J5" s="15" t="str">
        <f t="shared" si="2"/>
        <v>APR</v>
      </c>
    </row>
    <row r="6" spans="1:10" ht="15.75" customHeight="1" x14ac:dyDescent="0.2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 t="str">
        <f>IF(Dataset!D6&gt;=500,"HIGH PRICE","STANDARD PRICE")</f>
        <v>STANDARD PRICE</v>
      </c>
      <c r="H6" t="str">
        <f t="shared" si="0"/>
        <v>22</v>
      </c>
      <c r="I6" t="str">
        <f t="shared" si="1"/>
        <v>US</v>
      </c>
      <c r="J6" t="str">
        <f t="shared" si="2"/>
        <v>MAY</v>
      </c>
    </row>
    <row r="7" spans="1:10" ht="15.75" customHeight="1" x14ac:dyDescent="0.2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11" t="str">
        <f>IF(Dataset!D7&gt;=500,"HIGH PRICE","STANDARD PRICE")</f>
        <v>STANDARD PRICE</v>
      </c>
      <c r="H7" s="15" t="str">
        <f t="shared" si="0"/>
        <v>07</v>
      </c>
      <c r="I7" s="15" t="str">
        <f t="shared" si="1"/>
        <v>UK</v>
      </c>
      <c r="J7" s="15" t="str">
        <f t="shared" si="2"/>
        <v>JUN</v>
      </c>
    </row>
    <row r="8" spans="1:10" ht="15.75" customHeight="1" x14ac:dyDescent="0.2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 t="str">
        <f>IF(Dataset!D8&gt;=500,"HIGH PRICE","STANDARD PRICE")</f>
        <v>STANDARD PRICE</v>
      </c>
      <c r="H8" t="str">
        <f t="shared" si="0"/>
        <v>19</v>
      </c>
      <c r="I8" t="str">
        <f t="shared" si="1"/>
        <v>UK</v>
      </c>
      <c r="J8" t="str">
        <f t="shared" si="2"/>
        <v>JUL</v>
      </c>
    </row>
    <row r="9" spans="1:10" ht="15.75" customHeight="1" x14ac:dyDescent="0.2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11" t="str">
        <f>IF(Dataset!D9&gt;=500,"HIGH PRICE","STANDARD PRICE")</f>
        <v>STANDARD PRICE</v>
      </c>
      <c r="H9" s="15" t="str">
        <f t="shared" si="0"/>
        <v>23</v>
      </c>
      <c r="I9" s="15" t="str">
        <f t="shared" si="1"/>
        <v>UK</v>
      </c>
      <c r="J9" s="15" t="str">
        <f t="shared" si="2"/>
        <v>AUG</v>
      </c>
    </row>
    <row r="10" spans="1:10" ht="15.75" customHeight="1" x14ac:dyDescent="0.2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 t="str">
        <f>IF(Dataset!D10&gt;=500,"HIGH PRICE","STANDARD PRICE")</f>
        <v>HIGH PRICE</v>
      </c>
      <c r="H10" t="str">
        <f t="shared" si="0"/>
        <v>05</v>
      </c>
      <c r="I10" t="str">
        <f t="shared" si="1"/>
        <v>UK</v>
      </c>
      <c r="J10" t="str">
        <f t="shared" si="2"/>
        <v>SEP</v>
      </c>
    </row>
    <row r="11" spans="1:10" ht="15.75" customHeight="1" x14ac:dyDescent="0.2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11" t="str">
        <f>IF(Dataset!D11&gt;=500,"HIGH PRICE","STANDARD PRICE")</f>
        <v>STANDARD PRICE</v>
      </c>
      <c r="H11" s="15" t="str">
        <f t="shared" si="0"/>
        <v>14</v>
      </c>
      <c r="I11" s="15" t="str">
        <f t="shared" si="1"/>
        <v>UK</v>
      </c>
      <c r="J11" s="15" t="str">
        <f t="shared" si="2"/>
        <v>OCT</v>
      </c>
    </row>
    <row r="12" spans="1:10" ht="15.75" customHeight="1" x14ac:dyDescent="0.2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 t="str">
        <f>IF(Dataset!D12&gt;=500,"HIGH PRICE","STANDARD PRICE")</f>
        <v>HIGH PRICE</v>
      </c>
      <c r="H12" t="str">
        <f t="shared" si="0"/>
        <v>17</v>
      </c>
      <c r="I12" t="str">
        <f t="shared" si="1"/>
        <v>IN</v>
      </c>
      <c r="J12" t="str">
        <f t="shared" si="2"/>
        <v>JUN</v>
      </c>
    </row>
    <row r="13" spans="1:10" ht="15.75" customHeight="1" x14ac:dyDescent="0.2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11" t="str">
        <f>IF(Dataset!D13&gt;=500,"HIGH PRICE","STANDARD PRICE")</f>
        <v>STANDARD PRICE</v>
      </c>
      <c r="H13" s="15" t="str">
        <f t="shared" si="0"/>
        <v>25</v>
      </c>
      <c r="I13" s="15" t="str">
        <f t="shared" si="1"/>
        <v>AU</v>
      </c>
      <c r="J13" s="15" t="str">
        <f t="shared" si="2"/>
        <v>NOV</v>
      </c>
    </row>
    <row r="14" spans="1:10" ht="15.75" customHeight="1" x14ac:dyDescent="0.2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 t="str">
        <f>IF(Dataset!D14&gt;=500,"HIGH PRICE","STANDARD PRICE")</f>
        <v>STANDARD PRICE</v>
      </c>
      <c r="H14" t="str">
        <f t="shared" si="0"/>
        <v>08</v>
      </c>
      <c r="I14" t="str">
        <f t="shared" si="1"/>
        <v>DE</v>
      </c>
      <c r="J14" t="str">
        <f t="shared" si="2"/>
        <v>DEC</v>
      </c>
    </row>
    <row r="15" spans="1:10" ht="15.75" customHeight="1" x14ac:dyDescent="0.2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11" t="str">
        <f>IF(Dataset!D15&gt;=500,"HIGH PRICE","STANDARD PRICE")</f>
        <v>STANDARD PRICE</v>
      </c>
      <c r="H15" s="15" t="str">
        <f t="shared" si="0"/>
        <v>18</v>
      </c>
      <c r="I15" s="15" t="str">
        <f t="shared" si="1"/>
        <v>CA</v>
      </c>
      <c r="J15" s="15" t="str">
        <f t="shared" si="2"/>
        <v>FEB</v>
      </c>
    </row>
    <row r="16" spans="1:10" ht="15.75" customHeight="1" x14ac:dyDescent="0.2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 t="str">
        <f>IF(Dataset!D16&gt;=500,"HIGH PRICE","STANDARD PRICE")</f>
        <v>STANDARD PRICE</v>
      </c>
      <c r="H16" t="str">
        <f t="shared" si="0"/>
        <v>16</v>
      </c>
      <c r="I16" t="str">
        <f t="shared" si="1"/>
        <v>ES</v>
      </c>
      <c r="J16" t="str">
        <f t="shared" si="2"/>
        <v>APR</v>
      </c>
    </row>
    <row r="17" spans="1:10" ht="15.75" customHeight="1" x14ac:dyDescent="0.2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11" t="str">
        <f>IF(Dataset!D17&gt;=500,"HIGH PRICE","STANDARD PRICE")</f>
        <v>STANDARD PRICE</v>
      </c>
      <c r="H17" s="15" t="str">
        <f t="shared" si="0"/>
        <v>21</v>
      </c>
      <c r="I17" s="15" t="str">
        <f t="shared" si="1"/>
        <v>CA</v>
      </c>
      <c r="J17" s="15" t="str">
        <f t="shared" si="2"/>
        <v>AUG</v>
      </c>
    </row>
    <row r="18" spans="1:10" ht="15.75" customHeight="1" x14ac:dyDescent="0.2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 t="str">
        <f>IF(Dataset!D18&gt;=500,"HIGH PRICE","STANDARD PRICE")</f>
        <v>STANDARD PRICE</v>
      </c>
      <c r="H18" t="str">
        <f t="shared" si="0"/>
        <v>20</v>
      </c>
      <c r="I18" t="str">
        <f t="shared" si="1"/>
        <v>CN</v>
      </c>
      <c r="J18" t="str">
        <f t="shared" si="2"/>
        <v>AUG</v>
      </c>
    </row>
    <row r="19" spans="1:10" ht="15.75" customHeight="1" x14ac:dyDescent="0.2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11" t="str">
        <f>IF(Dataset!D19&gt;=500,"HIGH PRICE","STANDARD PRICE")</f>
        <v>HIGH PRICE</v>
      </c>
      <c r="H19" s="15" t="str">
        <f t="shared" si="0"/>
        <v>27</v>
      </c>
      <c r="I19" s="15" t="str">
        <f t="shared" si="1"/>
        <v>IT</v>
      </c>
      <c r="J19" s="15" t="str">
        <f t="shared" si="2"/>
        <v>JAN</v>
      </c>
    </row>
    <row r="20" spans="1:10" ht="15.75" customHeight="1" x14ac:dyDescent="0.2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 t="str">
        <f>IF(Dataset!D20&gt;=500,"HIGH PRICE","STANDARD PRICE")</f>
        <v>STANDARD PRICE</v>
      </c>
      <c r="H20" t="str">
        <f t="shared" si="0"/>
        <v>01</v>
      </c>
      <c r="I20" t="str">
        <f t="shared" si="1"/>
        <v>UK</v>
      </c>
      <c r="J20" t="str">
        <f t="shared" si="2"/>
        <v>MAR</v>
      </c>
    </row>
    <row r="21" spans="1:10" ht="15.75" customHeight="1" x14ac:dyDescent="0.2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11" t="str">
        <f>IF(Dataset!D21&gt;=500,"HIGH PRICE","STANDARD PRICE")</f>
        <v>STANDARD PRICE</v>
      </c>
      <c r="H21" s="15" t="str">
        <f t="shared" si="0"/>
        <v>14</v>
      </c>
      <c r="I21" s="15" t="str">
        <f t="shared" si="1"/>
        <v>US</v>
      </c>
      <c r="J21" s="15" t="str">
        <f t="shared" si="2"/>
        <v>AUG</v>
      </c>
    </row>
    <row r="22" spans="1:10" ht="15.75" customHeight="1" x14ac:dyDescent="0.2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 t="str">
        <f>IF(Dataset!D22&gt;=500,"HIGH PRICE","STANDARD PRICE")</f>
        <v>HIGH PRICE</v>
      </c>
      <c r="H22" t="str">
        <f t="shared" si="0"/>
        <v>14</v>
      </c>
      <c r="I22" t="str">
        <f t="shared" si="1"/>
        <v>RU</v>
      </c>
      <c r="J22" t="str">
        <f t="shared" si="2"/>
        <v>MAY</v>
      </c>
    </row>
    <row r="23" spans="1:10" ht="15.75" customHeight="1" x14ac:dyDescent="0.2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11" t="str">
        <f>IF(Dataset!D23&gt;=500,"HIGH PRICE","STANDARD PRICE")</f>
        <v>STANDARD PRICE</v>
      </c>
      <c r="H23" s="15" t="str">
        <f t="shared" si="0"/>
        <v>09</v>
      </c>
      <c r="I23" s="15" t="str">
        <f t="shared" si="1"/>
        <v>CA</v>
      </c>
      <c r="J23" s="15" t="str">
        <f t="shared" si="2"/>
        <v>JAN</v>
      </c>
    </row>
    <row r="24" spans="1:10" ht="15.75" customHeight="1" x14ac:dyDescent="0.2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 t="str">
        <f>IF(Dataset!D24&gt;=500,"HIGH PRICE","STANDARD PRICE")</f>
        <v>STANDARD PRICE</v>
      </c>
      <c r="H24" t="str">
        <f t="shared" si="0"/>
        <v>19</v>
      </c>
      <c r="I24" t="str">
        <f t="shared" si="1"/>
        <v>BR</v>
      </c>
      <c r="J24" t="str">
        <f t="shared" si="2"/>
        <v>JUL</v>
      </c>
    </row>
    <row r="25" spans="1:10" ht="15.75" customHeight="1" x14ac:dyDescent="0.2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11" t="str">
        <f>IF(Dataset!D25&gt;=500,"HIGH PRICE","STANDARD PRICE")</f>
        <v>STANDARD PRICE</v>
      </c>
      <c r="H25" s="15" t="str">
        <f t="shared" si="0"/>
        <v>21</v>
      </c>
      <c r="I25" s="15" t="str">
        <f t="shared" si="1"/>
        <v>CA</v>
      </c>
      <c r="J25" s="15" t="str">
        <f t="shared" si="2"/>
        <v>AUG</v>
      </c>
    </row>
    <row r="26" spans="1:10" ht="15.75" customHeight="1" x14ac:dyDescent="0.2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 t="str">
        <f>IF(Dataset!D26&gt;=500,"HIGH PRICE","STANDARD PRICE")</f>
        <v>HIGH PRICE</v>
      </c>
      <c r="H26" t="str">
        <f t="shared" si="0"/>
        <v>29</v>
      </c>
      <c r="I26" t="str">
        <f t="shared" si="1"/>
        <v>CA</v>
      </c>
      <c r="J26" t="str">
        <f t="shared" si="2"/>
        <v>SEP</v>
      </c>
    </row>
    <row r="27" spans="1:10" ht="15.75" customHeight="1" x14ac:dyDescent="0.2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11" t="str">
        <f>IF(Dataset!D27&gt;=500,"HIGH PRICE","STANDARD PRICE")</f>
        <v>STANDARD PRICE</v>
      </c>
      <c r="H27" s="15" t="str">
        <f t="shared" si="0"/>
        <v>03</v>
      </c>
      <c r="I27" s="15" t="str">
        <f t="shared" si="1"/>
        <v>CA</v>
      </c>
      <c r="J27" s="15" t="str">
        <f t="shared" si="2"/>
        <v>JUN</v>
      </c>
    </row>
    <row r="28" spans="1:10" ht="15.75" customHeight="1" x14ac:dyDescent="0.2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 t="str">
        <f>IF(Dataset!D28&gt;=500,"HIGH PRICE","STANDARD PRICE")</f>
        <v>STANDARD PRICE</v>
      </c>
      <c r="H28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0" ht="15.75" customHeight="1" x14ac:dyDescent="0.2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11" t="str">
        <f>IF(Dataset!D29&gt;=500,"HIGH PRICE","STANDARD PRICE")</f>
        <v>STANDARD PRICE</v>
      </c>
      <c r="H29" s="15" t="str">
        <f t="shared" si="0"/>
        <v>16</v>
      </c>
      <c r="I29" s="15" t="str">
        <f t="shared" si="1"/>
        <v>ES</v>
      </c>
      <c r="J29" s="15" t="str">
        <f t="shared" si="2"/>
        <v>APR</v>
      </c>
    </row>
    <row r="30" spans="1:10" ht="15.75" customHeight="1" x14ac:dyDescent="0.2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 t="str">
        <f>IF(Dataset!D30&gt;=500,"HIGH PRICE","STANDARD PRICE")</f>
        <v>STANDARD PRICE</v>
      </c>
      <c r="H30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0" ht="15.75" customHeight="1" x14ac:dyDescent="0.2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11" t="str">
        <f>IF(Dataset!D31&gt;=500,"HIGH PRICE","STANDARD PRICE")</f>
        <v>STANDARD PRICE</v>
      </c>
      <c r="H31" s="15" t="str">
        <f t="shared" si="0"/>
        <v>13</v>
      </c>
      <c r="I31" s="15" t="str">
        <f t="shared" si="1"/>
        <v>CA</v>
      </c>
      <c r="J31" s="15" t="str">
        <f t="shared" si="2"/>
        <v>APR</v>
      </c>
    </row>
    <row r="32" spans="1:10" ht="15.75" customHeight="1" x14ac:dyDescent="0.2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 t="str">
        <f>IF(Dataset!D32&gt;=500,"HIGH PRICE","STANDARD PRICE")</f>
        <v>STANDARD PRICE</v>
      </c>
      <c r="H32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1" ht="15.75" customHeight="1" x14ac:dyDescent="0.2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11" t="str">
        <f>IF(Dataset!D33&gt;=500,"HIGH PRICE","STANDARD PRICE")</f>
        <v>STANDARD PRICE</v>
      </c>
      <c r="H33" s="15" t="str">
        <f t="shared" si="0"/>
        <v>02</v>
      </c>
      <c r="I33" s="15" t="str">
        <f t="shared" si="1"/>
        <v>CA</v>
      </c>
      <c r="J33" s="15" t="str">
        <f t="shared" si="2"/>
        <v>DEC</v>
      </c>
    </row>
    <row r="34" spans="1:11" ht="15.75" customHeight="1" x14ac:dyDescent="0.2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 t="str">
        <f>IF(Dataset!D34&gt;=500,"HIGH PRICE","STANDARD PRICE")</f>
        <v>HIGH PRICE</v>
      </c>
      <c r="H34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1" ht="15.75" customHeight="1" x14ac:dyDescent="0.2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11" t="str">
        <f>IF(Dataset!D35&gt;=500,"HIGH PRICE","STANDARD PRICE")</f>
        <v>STANDARD PRICE</v>
      </c>
      <c r="H35" s="15" t="str">
        <f t="shared" si="0"/>
        <v>09</v>
      </c>
      <c r="I35" s="15" t="str">
        <f t="shared" si="1"/>
        <v>FR</v>
      </c>
      <c r="J35" s="15" t="str">
        <f t="shared" si="2"/>
        <v>JUL</v>
      </c>
    </row>
    <row r="36" spans="1:11" ht="15.75" customHeight="1" x14ac:dyDescent="0.2"/>
    <row r="37" spans="1:11" ht="15.75" customHeight="1" x14ac:dyDescent="0.2"/>
    <row r="38" spans="1:11" ht="15.75" customHeight="1" x14ac:dyDescent="0.2">
      <c r="A38" s="9" t="s">
        <v>110</v>
      </c>
      <c r="C38" s="21" t="s">
        <v>111</v>
      </c>
      <c r="D38" s="21"/>
      <c r="E38" s="21"/>
      <c r="G38" s="17" t="s">
        <v>116</v>
      </c>
      <c r="H38" s="17"/>
      <c r="I38" s="17"/>
      <c r="J38" s="17"/>
      <c r="K38" s="17"/>
    </row>
    <row r="39" spans="1:11" ht="15.75" customHeight="1" x14ac:dyDescent="0.2">
      <c r="A39" s="8">
        <f>SUM(D2:D35)</f>
        <v>10100</v>
      </c>
      <c r="C39" s="14"/>
      <c r="D39" s="14">
        <f>COUNTA(B2:B35)</f>
        <v>34</v>
      </c>
      <c r="E39" s="14"/>
      <c r="G39" s="12">
        <f>SUMIF(F2:F35,"Electronics",D2:D35)</f>
        <v>8050</v>
      </c>
    </row>
    <row r="40" spans="1:11" ht="15.75" customHeight="1" x14ac:dyDescent="0.2"/>
    <row r="41" spans="1:11" ht="15.75" customHeight="1" x14ac:dyDescent="0.2">
      <c r="B41" s="19" t="s">
        <v>112</v>
      </c>
      <c r="F41" s="24" t="s">
        <v>113</v>
      </c>
      <c r="G41" s="10"/>
      <c r="H41" s="18" t="s">
        <v>117</v>
      </c>
      <c r="I41" s="13"/>
      <c r="J41" s="13"/>
      <c r="K41" s="13"/>
    </row>
    <row r="42" spans="1:11" ht="15.75" customHeight="1" x14ac:dyDescent="0.2">
      <c r="B42" s="20">
        <f>AVERAGE(D2:D35)</f>
        <v>297.05882352941177</v>
      </c>
      <c r="F42" s="25">
        <f>MIN(D2:D35)</f>
        <v>30</v>
      </c>
      <c r="H42" s="13">
        <f>COUNTIF(D2:D35,"&lt;100")</f>
        <v>11</v>
      </c>
    </row>
    <row r="43" spans="1:11" ht="15.75" customHeight="1" x14ac:dyDescent="0.2">
      <c r="D43" s="22" t="s">
        <v>114</v>
      </c>
    </row>
    <row r="44" spans="1:11" ht="15.75" customHeight="1" x14ac:dyDescent="0.2">
      <c r="D44" s="23">
        <f>MAX(D2:D35)</f>
        <v>1000</v>
      </c>
    </row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Nazareen Mahamood F</cp:lastModifiedBy>
  <dcterms:modified xsi:type="dcterms:W3CDTF">2026-07-24T13:00:21Z</dcterms:modified>
</cp:coreProperties>
</file>