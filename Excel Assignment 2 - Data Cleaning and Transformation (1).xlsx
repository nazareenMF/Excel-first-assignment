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276865F-F00B-44B0-B3A6-5B6B0F944C1D}" xr6:coauthVersionLast="47" xr6:coauthVersionMax="47" xr10:uidLastSave="{00000000-0000-0000-0000-000000000000}"/>
  <bookViews>
    <workbookView xWindow="-107" yWindow="-107" windowWidth="20847" windowHeight="11111" firstSheet="1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7" i="2" l="1"/>
  <c r="I4" i="2"/>
  <c r="I5" i="2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I3" i="2"/>
  <c r="L32" i="2" l="1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1" i="2"/>
  <c r="G32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  <c r="G7" i="2"/>
</calcChain>
</file>

<file path=xl/sharedStrings.xml><?xml version="1.0" encoding="utf-8"?>
<sst xmlns="http://schemas.openxmlformats.org/spreadsheetml/2006/main" count="164" uniqueCount="127">
  <si>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</si>
  <si>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</si>
  <si>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</si>
  <si>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</si>
  <si>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</si>
  <si>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</si>
  <si>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</si>
  <si>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</si>
  <si>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</si>
  <si>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</si>
  <si>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</si>
  <si>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</si>
  <si>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</si>
  <si>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</si>
  <si>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</si>
  <si>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</si>
  <si>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</si>
  <si>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</si>
  <si>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</si>
  <si>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</si>
  <si>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</si>
  <si>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</si>
  <si>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</si>
  <si>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</si>
  <si>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</si>
  <si>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</si>
  <si>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</si>
  <si>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</si>
  <si>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</si>
  <si>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</si>
  <si>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</si>
  <si>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</si>
  <si>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</si>
  <si>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</si>
  <si>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</si>
  <si>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</si>
  <si>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</si>
  <si>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</si>
  <si>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</si>
  <si>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</si>
  <si>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</si>
  <si>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</si>
  <si>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</si>
  <si>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</si>
  <si>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</si>
  <si>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</si>
  <si>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</si>
  <si>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</si>
  <si>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</si>
  <si>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</si>
  <si>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</si>
  <si>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</si>
  <si>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</si>
  <si>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</si>
  <si>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</si>
  <si>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</si>
  <si>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</si>
  <si>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</si>
  <si>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</si>
  <si>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</si>
  <si>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</si>
  <si>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</si>
  <si>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</si>
  <si>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</si>
  <si>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</si>
  <si>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</si>
  <si>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</si>
  <si>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</si>
  <si>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</si>
  <si>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</si>
  <si>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</si>
  <si>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</si>
  <si>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</si>
  <si>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</si>
  <si>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</si>
  <si>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</si>
  <si>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</si>
  <si>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</si>
  <si>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</si>
  <si>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</si>
  <si>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</si>
  <si>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</si>
  <si>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</si>
  <si>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</si>
  <si>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</si>
  <si>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</si>
  <si>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</si>
  <si>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</si>
  <si>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</si>
  <si>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</si>
  <si>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</si>
  <si>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</si>
  <si>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</si>
  <si>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</si>
  <si>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</si>
  <si>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</si>
  <si>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</si>
  <si>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</si>
  <si>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</si>
  <si>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</si>
  <si>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</si>
  <si>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</si>
  <si>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</si>
  <si>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</si>
  <si>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</si>
  <si>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</si>
  <si>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</si>
  <si>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</si>
  <si>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</si>
  <si>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</si>
  <si>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</si>
  <si>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</si>
  <si>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Price_impute</t>
  </si>
  <si>
    <t>Pice column null or not</t>
  </si>
  <si>
    <t>Inconsistent Data</t>
  </si>
  <si>
    <t>Missing category name</t>
  </si>
  <si>
    <t>Filled missing price cell with average values</t>
  </si>
  <si>
    <t>price column cell blank or not</t>
  </si>
  <si>
    <t>Manufacturing Date</t>
  </si>
  <si>
    <t>Country Code</t>
  </si>
  <si>
    <t>manufacturig date obtained from product id</t>
  </si>
  <si>
    <t>Product Brand</t>
  </si>
  <si>
    <t>Merging of Product name and Brand name</t>
  </si>
  <si>
    <t>Country code from product id</t>
  </si>
  <si>
    <t>Number Formatting</t>
  </si>
  <si>
    <t>Number Formatting in currency type</t>
  </si>
  <si>
    <t>AND then formatted in 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</si>
</sst>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E0F7FA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E0F7F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0F7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rgb="FF4DD0E1"/>
      </patternFill>
    </fill>
    <fill>
      <patternFill patternType="solid">
        <fgColor theme="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0" fillId="5" borderId="0" xfId="0" applyFont="1" applyFill="1" applyAlignment="1"/>
    <xf numFmtId="0" fontId="0" fillId="4" borderId="0" xfId="0" applyFont="1" applyFill="1" applyAlignment="1"/>
    <xf numFmtId="0" fontId="5" fillId="7" borderId="0" xfId="0" applyFont="1" applyFill="1"/>
    <xf numFmtId="0" fontId="5" fillId="8" borderId="0" xfId="0" applyFont="1" applyFill="1"/>
    <xf numFmtId="0" fontId="0" fillId="7" borderId="0" xfId="0" applyFont="1" applyFill="1" applyAlignment="1"/>
    <xf numFmtId="0" fontId="5" fillId="10" borderId="0" xfId="0" applyFont="1" applyFill="1"/>
    <xf numFmtId="0" fontId="5" fillId="9" borderId="0" xfId="0" applyFont="1" applyFill="1"/>
    <xf numFmtId="0" fontId="5" fillId="11" borderId="0" xfId="0" applyFont="1" applyFill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164" fontId="5" fillId="16" borderId="0" xfId="0" applyNumberFormat="1" applyFont="1" applyFill="1"/>
    <xf numFmtId="0" fontId="0" fillId="16" borderId="0" xfId="0" applyFont="1" applyFill="1" applyAlignment="1"/>
    <xf numFmtId="165" fontId="0" fillId="13" borderId="0" xfId="0" applyNumberFormat="1" applyFont="1" applyFill="1" applyAlignment="1"/>
    <xf numFmtId="0" fontId="8" fillId="0" borderId="0" xfId="0" applyFont="1" applyAlignment="1"/>
    <xf numFmtId="14" fontId="0" fillId="0" borderId="0" xfId="0" applyNumberFormat="1" applyFont="1" applyAlignment="1"/>
    <xf numFmtId="14" fontId="5" fillId="0" borderId="0" xfId="0" applyNumberFormat="1" applyFont="1" applyAlignment="1"/>
    <xf numFmtId="0" fontId="9" fillId="17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0" fillId="14" borderId="0" xfId="0" applyFont="1" applyFill="1" applyAlignment="1">
      <alignment horizontal="right" vertical="center"/>
    </xf>
  </cellXfs>
  <cellStyles count="1">
    <cellStyle name="Normal" xfId="0" builtinId="0"/>
  </cellStyles>
  <dxfs count="2">
    <dxf>
      <font>
        <strike val="0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328125" defaultRowHeight="15.0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3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zoomScale="80" zoomScaleNormal="80" workbookViewId="0">
      <selection activeCell="D22" sqref="D22"/>
    </sheetView>
  </sheetViews>
  <sheetFormatPr defaultColWidth="12.6328125" defaultRowHeight="15.05" customHeight="1" x14ac:dyDescent="0.25"/>
  <cols>
    <col min="1" max="6" width="12.6328125" customWidth="1"/>
    <col min="7" max="7" width="20.36328125" customWidth="1"/>
    <col min="9" max="10" width="17.453125" customWidth="1"/>
    <col min="11" max="11" width="23.453125" customWidth="1"/>
    <col min="12" max="12" width="15.90625" customWidth="1"/>
    <col min="14" max="14" width="20" customWidth="1"/>
  </cols>
  <sheetData>
    <row r="1" spans="1:17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113</v>
      </c>
      <c r="H1" s="9" t="s">
        <v>112</v>
      </c>
      <c r="I1" s="9" t="s">
        <v>118</v>
      </c>
      <c r="J1" s="9" t="s">
        <v>119</v>
      </c>
      <c r="K1" s="9" t="s">
        <v>121</v>
      </c>
      <c r="L1" s="9" t="s">
        <v>124</v>
      </c>
      <c r="M1" s="35"/>
      <c r="N1" s="34"/>
    </row>
    <row r="2" spans="1:17" ht="15.75" customHeight="1" x14ac:dyDescent="0.25">
      <c r="A2" s="10" t="s">
        <v>25</v>
      </c>
      <c r="B2" s="13" t="s">
        <v>58</v>
      </c>
      <c r="C2" s="10" t="s">
        <v>26</v>
      </c>
      <c r="D2" s="10">
        <v>1000</v>
      </c>
      <c r="E2" s="10">
        <v>30</v>
      </c>
      <c r="F2" s="10" t="s">
        <v>27</v>
      </c>
      <c r="G2" s="22" t="b">
        <f t="shared" ref="G2:G32" si="0">ISBLANK(D2)</f>
        <v>0</v>
      </c>
      <c r="H2" s="10">
        <f>IF(ISBLANK(D2),AVERAGE($D$2:$D$35),D2)</f>
        <v>1000</v>
      </c>
      <c r="I2" s="30">
        <f>DATEVALUE(LEFT(A2,6))</f>
        <v>46050</v>
      </c>
      <c r="J2" s="36" t="str">
        <f>RIGHT(A2,2)</f>
        <v>US</v>
      </c>
      <c r="K2" s="27" t="str">
        <f>CONCATENATE(C2," ",B2)</f>
        <v>Dell Laptop</v>
      </c>
      <c r="L2" s="28">
        <f>IF(ISBLANK(H2),AVERAGE($D$2:$D$35),H2)</f>
        <v>1000</v>
      </c>
      <c r="M2" s="32"/>
      <c r="N2" s="34"/>
    </row>
    <row r="3" spans="1:17" ht="15.75" customHeight="1" x14ac:dyDescent="0.25">
      <c r="A3" s="11" t="s">
        <v>28</v>
      </c>
      <c r="B3" s="11" t="s">
        <v>29</v>
      </c>
      <c r="C3" s="11" t="s">
        <v>30</v>
      </c>
      <c r="D3" s="11">
        <v>80</v>
      </c>
      <c r="E3" s="11">
        <v>15</v>
      </c>
      <c r="F3" s="11" t="s">
        <v>31</v>
      </c>
      <c r="G3" s="22" t="b">
        <f t="shared" si="0"/>
        <v>0</v>
      </c>
      <c r="H3" s="10">
        <f t="shared" ref="H3:H32" si="1">IF(ISBLANK(D3),AVERAGE($D$2:$D$35),D3)</f>
        <v>80</v>
      </c>
      <c r="I3" s="30">
        <f>DATEVALUE(LEFT(A3,6))</f>
        <v>46068</v>
      </c>
      <c r="J3" s="36" t="str">
        <f t="shared" ref="J3:J32" si="2">RIGHT(A3,2)</f>
        <v>US</v>
      </c>
      <c r="K3" s="27" t="str">
        <f t="shared" ref="K3:K32" si="3">CONCATENATE(C3," ",B3)</f>
        <v>Nike Sneakers</v>
      </c>
      <c r="L3" s="28">
        <f t="shared" ref="L3:L32" si="4">IF(ISBLANK(H3),AVERAGE($D$2:$D$35),H3)</f>
        <v>80</v>
      </c>
      <c r="M3" s="33"/>
      <c r="N3" s="34"/>
      <c r="O3" s="6"/>
      <c r="P3" s="6"/>
      <c r="Q3" s="6"/>
    </row>
    <row r="4" spans="1:17" ht="15.75" customHeight="1" x14ac:dyDescent="0.25">
      <c r="A4" s="10" t="s">
        <v>32</v>
      </c>
      <c r="B4" s="10" t="s">
        <v>33</v>
      </c>
      <c r="C4" s="10" t="s">
        <v>34</v>
      </c>
      <c r="D4" s="10">
        <v>130</v>
      </c>
      <c r="E4" s="10">
        <v>40</v>
      </c>
      <c r="F4" s="10" t="s">
        <v>35</v>
      </c>
      <c r="G4" s="22" t="b">
        <f t="shared" si="0"/>
        <v>0</v>
      </c>
      <c r="H4" s="10">
        <f t="shared" si="1"/>
        <v>130</v>
      </c>
      <c r="I4" s="30">
        <f t="shared" ref="I4:I32" si="5">DATEVALUE(LEFT(A4,6))</f>
        <v>46084</v>
      </c>
      <c r="J4" s="36" t="str">
        <f t="shared" si="2"/>
        <v>US</v>
      </c>
      <c r="K4" s="27" t="str">
        <f t="shared" si="3"/>
        <v>Keurig Coffee Maker</v>
      </c>
      <c r="L4" s="28">
        <f t="shared" si="4"/>
        <v>130</v>
      </c>
      <c r="M4" s="33"/>
      <c r="N4" s="34"/>
      <c r="O4" s="6"/>
      <c r="P4" s="6"/>
      <c r="Q4" s="6"/>
    </row>
    <row r="5" spans="1:17" ht="15.75" customHeight="1" x14ac:dyDescent="0.25">
      <c r="A5" s="11" t="s">
        <v>36</v>
      </c>
      <c r="B5" s="14" t="s">
        <v>92</v>
      </c>
      <c r="C5" s="11" t="s">
        <v>37</v>
      </c>
      <c r="D5" s="11">
        <v>900</v>
      </c>
      <c r="E5" s="11">
        <v>25</v>
      </c>
      <c r="F5" s="11" t="s">
        <v>27</v>
      </c>
      <c r="G5" s="22" t="b">
        <f t="shared" si="0"/>
        <v>0</v>
      </c>
      <c r="H5" s="10">
        <f t="shared" si="1"/>
        <v>900</v>
      </c>
      <c r="I5" s="30">
        <f t="shared" si="5"/>
        <v>46123</v>
      </c>
      <c r="J5" s="36" t="str">
        <f t="shared" si="2"/>
        <v>US</v>
      </c>
      <c r="K5" s="27" t="str">
        <f t="shared" si="3"/>
        <v>Samsung Smartphone</v>
      </c>
      <c r="L5" s="28">
        <f t="shared" si="4"/>
        <v>900</v>
      </c>
      <c r="M5" s="33"/>
      <c r="N5" s="34"/>
      <c r="O5" s="6"/>
      <c r="P5" s="6"/>
      <c r="Q5" s="6"/>
    </row>
    <row r="6" spans="1:17" ht="15.75" customHeight="1" x14ac:dyDescent="0.25">
      <c r="A6" s="10" t="s">
        <v>38</v>
      </c>
      <c r="B6" s="10" t="s">
        <v>39</v>
      </c>
      <c r="C6" s="10" t="s">
        <v>40</v>
      </c>
      <c r="D6" s="10">
        <v>70</v>
      </c>
      <c r="E6" s="10">
        <v>20</v>
      </c>
      <c r="F6" s="17" t="s">
        <v>71</v>
      </c>
      <c r="G6" s="22" t="b">
        <f t="shared" si="0"/>
        <v>0</v>
      </c>
      <c r="H6" s="10">
        <f t="shared" si="1"/>
        <v>70</v>
      </c>
      <c r="I6" s="30">
        <f t="shared" si="5"/>
        <v>46164</v>
      </c>
      <c r="J6" s="36" t="str">
        <f t="shared" si="2"/>
        <v>US</v>
      </c>
      <c r="K6" s="27" t="str">
        <f t="shared" si="3"/>
        <v>North Face Backpack</v>
      </c>
      <c r="L6" s="28">
        <f t="shared" si="4"/>
        <v>70</v>
      </c>
      <c r="N6" s="34"/>
    </row>
    <row r="7" spans="1:17" ht="15.75" customHeight="1" x14ac:dyDescent="0.25">
      <c r="A7" s="11" t="s">
        <v>41</v>
      </c>
      <c r="B7" s="11" t="s">
        <v>42</v>
      </c>
      <c r="C7" s="11" t="s">
        <v>43</v>
      </c>
      <c r="D7" s="11"/>
      <c r="E7" s="11">
        <v>45</v>
      </c>
      <c r="F7" s="20" t="s">
        <v>27</v>
      </c>
      <c r="G7" s="22" t="b">
        <f t="shared" si="0"/>
        <v>1</v>
      </c>
      <c r="H7" s="12">
        <f t="shared" si="1"/>
        <v>297.85714285714283</v>
      </c>
      <c r="I7" s="30">
        <f t="shared" si="5"/>
        <v>46180</v>
      </c>
      <c r="J7" s="36" t="str">
        <f t="shared" si="2"/>
        <v>UK</v>
      </c>
      <c r="K7" s="27" t="str">
        <f t="shared" si="3"/>
        <v>Sony Headphones</v>
      </c>
      <c r="L7" s="28">
        <f t="shared" si="4"/>
        <v>297.85714285714283</v>
      </c>
      <c r="N7" s="34"/>
    </row>
    <row r="8" spans="1:17" ht="15.75" customHeight="1" x14ac:dyDescent="0.25">
      <c r="A8" s="10" t="s">
        <v>44</v>
      </c>
      <c r="B8" s="10" t="s">
        <v>45</v>
      </c>
      <c r="C8" s="10" t="s">
        <v>46</v>
      </c>
      <c r="D8" s="10">
        <v>30</v>
      </c>
      <c r="E8" s="10">
        <v>5</v>
      </c>
      <c r="F8" s="10" t="s">
        <v>31</v>
      </c>
      <c r="G8" s="22" t="b">
        <f t="shared" si="0"/>
        <v>0</v>
      </c>
      <c r="H8" s="10">
        <f t="shared" si="1"/>
        <v>30</v>
      </c>
      <c r="I8" s="30">
        <f t="shared" si="5"/>
        <v>46222</v>
      </c>
      <c r="J8" s="36" t="str">
        <f t="shared" si="2"/>
        <v>UK</v>
      </c>
      <c r="K8" s="27" t="str">
        <f t="shared" si="3"/>
        <v>Adidas T-shirt</v>
      </c>
      <c r="L8" s="28">
        <f t="shared" si="4"/>
        <v>30</v>
      </c>
      <c r="N8" s="34"/>
    </row>
    <row r="9" spans="1:17" ht="15.75" customHeight="1" x14ac:dyDescent="0.25">
      <c r="A9" s="11" t="s">
        <v>47</v>
      </c>
      <c r="B9" s="11" t="s">
        <v>48</v>
      </c>
      <c r="C9" s="11" t="s">
        <v>49</v>
      </c>
      <c r="D9" s="11">
        <v>90</v>
      </c>
      <c r="E9" s="11">
        <v>35</v>
      </c>
      <c r="F9" s="11" t="s">
        <v>35</v>
      </c>
      <c r="G9" s="22" t="b">
        <f t="shared" si="0"/>
        <v>0</v>
      </c>
      <c r="H9" s="10">
        <f t="shared" si="1"/>
        <v>90</v>
      </c>
      <c r="I9" s="30">
        <f t="shared" si="5"/>
        <v>46257</v>
      </c>
      <c r="J9" s="36" t="str">
        <f t="shared" si="2"/>
        <v>UK</v>
      </c>
      <c r="K9" s="27" t="str">
        <f t="shared" si="3"/>
        <v>Ninja Blender</v>
      </c>
      <c r="L9" s="28">
        <f t="shared" si="4"/>
        <v>90</v>
      </c>
      <c r="N9" s="34"/>
    </row>
    <row r="10" spans="1:17" ht="15.75" customHeight="1" x14ac:dyDescent="0.25">
      <c r="A10" s="10" t="s">
        <v>50</v>
      </c>
      <c r="B10" s="10" t="s">
        <v>51</v>
      </c>
      <c r="C10" s="10" t="s">
        <v>52</v>
      </c>
      <c r="D10" s="10">
        <v>500</v>
      </c>
      <c r="E10" s="10">
        <v>50</v>
      </c>
      <c r="F10" s="10" t="s">
        <v>27</v>
      </c>
      <c r="G10" s="22" t="b">
        <f t="shared" si="0"/>
        <v>0</v>
      </c>
      <c r="H10" s="10">
        <f t="shared" si="1"/>
        <v>500</v>
      </c>
      <c r="I10" s="30">
        <f t="shared" si="5"/>
        <v>46270</v>
      </c>
      <c r="J10" s="36" t="str">
        <f t="shared" si="2"/>
        <v>UK</v>
      </c>
      <c r="K10" s="27" t="str">
        <f t="shared" si="3"/>
        <v>Apple Tablet</v>
      </c>
      <c r="L10" s="28">
        <f t="shared" si="4"/>
        <v>500</v>
      </c>
      <c r="N10" s="34"/>
    </row>
    <row r="11" spans="1:17" ht="15.75" customHeight="1" x14ac:dyDescent="0.25">
      <c r="A11" s="11" t="s">
        <v>53</v>
      </c>
      <c r="B11" s="11" t="s">
        <v>54</v>
      </c>
      <c r="C11" s="11" t="s">
        <v>55</v>
      </c>
      <c r="D11" s="11">
        <v>130</v>
      </c>
      <c r="E11" s="11">
        <v>10</v>
      </c>
      <c r="F11" s="11" t="s">
        <v>56</v>
      </c>
      <c r="G11" s="22" t="b">
        <f t="shared" si="0"/>
        <v>0</v>
      </c>
      <c r="H11" s="10">
        <f t="shared" si="1"/>
        <v>130</v>
      </c>
      <c r="I11" s="30">
        <f t="shared" si="5"/>
        <v>46309</v>
      </c>
      <c r="J11" s="36" t="str">
        <f t="shared" si="2"/>
        <v>UK</v>
      </c>
      <c r="K11" s="27" t="str">
        <f t="shared" si="3"/>
        <v>Timberland Hiking Boots</v>
      </c>
      <c r="L11" s="28">
        <f t="shared" si="4"/>
        <v>130</v>
      </c>
      <c r="N11" s="34"/>
    </row>
    <row r="12" spans="1:17" ht="15.75" customHeight="1" x14ac:dyDescent="0.25">
      <c r="A12" s="10" t="s">
        <v>57</v>
      </c>
      <c r="B12" s="10" t="s">
        <v>58</v>
      </c>
      <c r="C12" s="10" t="s">
        <v>59</v>
      </c>
      <c r="D12" s="10">
        <v>950</v>
      </c>
      <c r="E12" s="10">
        <v>25</v>
      </c>
      <c r="F12" s="10" t="s">
        <v>27</v>
      </c>
      <c r="G12" s="22" t="b">
        <f t="shared" si="0"/>
        <v>0</v>
      </c>
      <c r="H12" s="10">
        <f t="shared" si="1"/>
        <v>950</v>
      </c>
      <c r="I12" s="30">
        <f t="shared" si="5"/>
        <v>46190</v>
      </c>
      <c r="J12" s="36" t="str">
        <f t="shared" si="2"/>
        <v>IN</v>
      </c>
      <c r="K12" s="27" t="str">
        <f t="shared" si="3"/>
        <v>HP Laptop</v>
      </c>
      <c r="L12" s="28">
        <f t="shared" si="4"/>
        <v>950</v>
      </c>
      <c r="N12" s="34"/>
    </row>
    <row r="13" spans="1:17" ht="15.75" customHeight="1" x14ac:dyDescent="0.25">
      <c r="A13" s="11" t="s">
        <v>60</v>
      </c>
      <c r="B13" s="11" t="s">
        <v>29</v>
      </c>
      <c r="C13" s="11" t="s">
        <v>46</v>
      </c>
      <c r="D13" s="11">
        <v>90</v>
      </c>
      <c r="E13" s="11">
        <v>40</v>
      </c>
      <c r="F13" s="18" t="s">
        <v>31</v>
      </c>
      <c r="G13" s="22" t="b">
        <f t="shared" si="0"/>
        <v>0</v>
      </c>
      <c r="H13" s="10">
        <f t="shared" si="1"/>
        <v>90</v>
      </c>
      <c r="I13" s="30">
        <f t="shared" si="5"/>
        <v>46351</v>
      </c>
      <c r="J13" s="36" t="str">
        <f t="shared" si="2"/>
        <v>AU</v>
      </c>
      <c r="K13" s="27" t="str">
        <f t="shared" si="3"/>
        <v>Adidas Sneakers</v>
      </c>
      <c r="L13" s="28">
        <f t="shared" si="4"/>
        <v>90</v>
      </c>
      <c r="N13" s="34"/>
    </row>
    <row r="14" spans="1:17" ht="15.75" customHeight="1" x14ac:dyDescent="0.25">
      <c r="A14" s="10" t="s">
        <v>61</v>
      </c>
      <c r="B14" s="10" t="s">
        <v>33</v>
      </c>
      <c r="C14" s="10" t="s">
        <v>62</v>
      </c>
      <c r="D14" s="10">
        <v>120</v>
      </c>
      <c r="E14" s="10">
        <v>35</v>
      </c>
      <c r="F14" s="17" t="s">
        <v>35</v>
      </c>
      <c r="G14" s="22" t="b">
        <f t="shared" si="0"/>
        <v>0</v>
      </c>
      <c r="H14" s="10">
        <f t="shared" si="1"/>
        <v>120</v>
      </c>
      <c r="I14" s="30">
        <f t="shared" si="5"/>
        <v>46364</v>
      </c>
      <c r="J14" s="36" t="str">
        <f t="shared" si="2"/>
        <v>DE</v>
      </c>
      <c r="K14" s="27" t="str">
        <f t="shared" si="3"/>
        <v>Nespresso Coffee Maker</v>
      </c>
      <c r="L14" s="28">
        <f t="shared" si="4"/>
        <v>120</v>
      </c>
      <c r="N14" s="34"/>
    </row>
    <row r="15" spans="1:17" ht="15.75" customHeight="1" x14ac:dyDescent="0.25">
      <c r="A15" s="11" t="s">
        <v>63</v>
      </c>
      <c r="B15" s="11" t="s">
        <v>64</v>
      </c>
      <c r="C15" s="11" t="s">
        <v>65</v>
      </c>
      <c r="D15" s="11">
        <v>150</v>
      </c>
      <c r="E15" s="11">
        <v>15</v>
      </c>
      <c r="F15" s="20" t="s">
        <v>27</v>
      </c>
      <c r="G15" s="22" t="b">
        <f t="shared" si="0"/>
        <v>0</v>
      </c>
      <c r="H15" s="10">
        <f t="shared" si="1"/>
        <v>150</v>
      </c>
      <c r="I15" s="30">
        <f t="shared" si="5"/>
        <v>46071</v>
      </c>
      <c r="J15" s="36" t="str">
        <f t="shared" si="2"/>
        <v>CA</v>
      </c>
      <c r="K15" s="27" t="str">
        <f t="shared" si="3"/>
        <v>Fitbit Smartwatch</v>
      </c>
      <c r="L15" s="28">
        <f t="shared" si="4"/>
        <v>150</v>
      </c>
      <c r="N15" s="34"/>
    </row>
    <row r="16" spans="1:17" ht="15.75" customHeight="1" x14ac:dyDescent="0.25">
      <c r="A16" s="10" t="s">
        <v>66</v>
      </c>
      <c r="B16" s="13" t="s">
        <v>42</v>
      </c>
      <c r="C16" s="10" t="s">
        <v>67</v>
      </c>
      <c r="D16" s="10">
        <v>250</v>
      </c>
      <c r="E16" s="10">
        <v>20</v>
      </c>
      <c r="F16" s="20" t="s">
        <v>27</v>
      </c>
      <c r="G16" s="22" t="b">
        <f t="shared" si="0"/>
        <v>0</v>
      </c>
      <c r="H16" s="10">
        <f t="shared" si="1"/>
        <v>250</v>
      </c>
      <c r="I16" s="30">
        <f t="shared" si="5"/>
        <v>46128</v>
      </c>
      <c r="J16" s="36" t="str">
        <f t="shared" si="2"/>
        <v>ES</v>
      </c>
      <c r="K16" s="27" t="str">
        <f t="shared" si="3"/>
        <v>Bose Headphones</v>
      </c>
      <c r="L16" s="28">
        <f t="shared" si="4"/>
        <v>250</v>
      </c>
      <c r="N16" s="34"/>
    </row>
    <row r="17" spans="1:14" ht="15.75" customHeight="1" x14ac:dyDescent="0.25">
      <c r="A17" s="11" t="s">
        <v>68</v>
      </c>
      <c r="B17" s="11" t="s">
        <v>69</v>
      </c>
      <c r="C17" s="11" t="s">
        <v>70</v>
      </c>
      <c r="D17" s="11">
        <v>50</v>
      </c>
      <c r="E17" s="11">
        <v>35</v>
      </c>
      <c r="F17" s="11" t="s">
        <v>71</v>
      </c>
      <c r="G17" s="22" t="b">
        <f t="shared" si="0"/>
        <v>0</v>
      </c>
      <c r="H17" s="10">
        <f t="shared" si="1"/>
        <v>50</v>
      </c>
      <c r="I17" s="30">
        <f t="shared" si="5"/>
        <v>46255</v>
      </c>
      <c r="J17" s="36" t="str">
        <f t="shared" si="2"/>
        <v>CA</v>
      </c>
      <c r="K17" s="27" t="str">
        <f t="shared" si="3"/>
        <v>Samsonite Laptop Bag</v>
      </c>
      <c r="L17" s="28">
        <f t="shared" si="4"/>
        <v>50</v>
      </c>
      <c r="N17" s="34"/>
    </row>
    <row r="18" spans="1:14" ht="15.75" customHeight="1" x14ac:dyDescent="0.25">
      <c r="A18" s="10" t="s">
        <v>72</v>
      </c>
      <c r="B18" s="10" t="s">
        <v>64</v>
      </c>
      <c r="C18" s="10" t="s">
        <v>73</v>
      </c>
      <c r="D18" s="10">
        <v>160</v>
      </c>
      <c r="E18" s="10">
        <v>15</v>
      </c>
      <c r="F18" s="21" t="s">
        <v>27</v>
      </c>
      <c r="G18" s="22" t="b">
        <f t="shared" si="0"/>
        <v>0</v>
      </c>
      <c r="H18" s="10">
        <f t="shared" si="1"/>
        <v>160</v>
      </c>
      <c r="I18" s="30">
        <f t="shared" si="5"/>
        <v>46254</v>
      </c>
      <c r="J18" s="36" t="str">
        <f t="shared" si="2"/>
        <v>CN</v>
      </c>
      <c r="K18" s="27" t="str">
        <f t="shared" si="3"/>
        <v>Huawei Smartwatch</v>
      </c>
      <c r="L18" s="28">
        <f t="shared" si="4"/>
        <v>160</v>
      </c>
      <c r="N18" s="34"/>
    </row>
    <row r="19" spans="1:14" ht="15.75" customHeight="1" x14ac:dyDescent="0.25">
      <c r="A19" s="11" t="s">
        <v>74</v>
      </c>
      <c r="B19" s="14" t="s">
        <v>58</v>
      </c>
      <c r="C19" s="11" t="s">
        <v>75</v>
      </c>
      <c r="D19" s="11">
        <v>980</v>
      </c>
      <c r="E19" s="11">
        <v>10</v>
      </c>
      <c r="F19" s="11" t="s">
        <v>27</v>
      </c>
      <c r="G19" s="22" t="b">
        <f t="shared" si="0"/>
        <v>0</v>
      </c>
      <c r="H19" s="10">
        <f t="shared" si="1"/>
        <v>980</v>
      </c>
      <c r="I19" s="30">
        <f t="shared" si="5"/>
        <v>46049</v>
      </c>
      <c r="J19" s="36" t="str">
        <f t="shared" si="2"/>
        <v>IT</v>
      </c>
      <c r="K19" s="27" t="str">
        <f t="shared" si="3"/>
        <v>Asus Laptop</v>
      </c>
      <c r="L19" s="28">
        <f t="shared" si="4"/>
        <v>980</v>
      </c>
      <c r="N19" s="34"/>
    </row>
    <row r="20" spans="1:14" ht="15.75" customHeight="1" x14ac:dyDescent="0.25">
      <c r="A20" s="10" t="s">
        <v>76</v>
      </c>
      <c r="B20" s="10" t="s">
        <v>77</v>
      </c>
      <c r="C20" s="10" t="s">
        <v>78</v>
      </c>
      <c r="D20" s="10">
        <v>150</v>
      </c>
      <c r="E20" s="10">
        <v>15</v>
      </c>
      <c r="F20" s="10" t="s">
        <v>31</v>
      </c>
      <c r="G20" s="22" t="b">
        <f t="shared" si="0"/>
        <v>0</v>
      </c>
      <c r="H20" s="10">
        <f t="shared" si="1"/>
        <v>150</v>
      </c>
      <c r="I20" s="30">
        <f t="shared" si="5"/>
        <v>46082</v>
      </c>
      <c r="J20" s="36" t="str">
        <f t="shared" si="2"/>
        <v>UK</v>
      </c>
      <c r="K20" s="27" t="str">
        <f t="shared" si="3"/>
        <v>Oakley Sunglasses</v>
      </c>
      <c r="L20" s="28">
        <f t="shared" si="4"/>
        <v>150</v>
      </c>
      <c r="N20" s="34"/>
    </row>
    <row r="21" spans="1:14" ht="15.75" customHeight="1" x14ac:dyDescent="0.25">
      <c r="A21" s="11" t="s">
        <v>79</v>
      </c>
      <c r="B21" s="11" t="s">
        <v>80</v>
      </c>
      <c r="C21" s="11" t="s">
        <v>81</v>
      </c>
      <c r="D21" s="11"/>
      <c r="E21" s="11">
        <v>10</v>
      </c>
      <c r="F21" s="11" t="s">
        <v>56</v>
      </c>
      <c r="G21" s="22" t="b">
        <f t="shared" si="0"/>
        <v>1</v>
      </c>
      <c r="H21" s="12">
        <f t="shared" si="1"/>
        <v>297.85714285714283</v>
      </c>
      <c r="I21" s="30">
        <f t="shared" si="5"/>
        <v>46248</v>
      </c>
      <c r="J21" s="36" t="str">
        <f t="shared" si="2"/>
        <v>US</v>
      </c>
      <c r="K21" s="27" t="str">
        <f t="shared" si="3"/>
        <v>Coleman Camping Tent</v>
      </c>
      <c r="L21" s="28">
        <f t="shared" si="4"/>
        <v>297.85714285714283</v>
      </c>
      <c r="N21" s="34"/>
    </row>
    <row r="22" spans="1:14" ht="15.75" customHeight="1" x14ac:dyDescent="0.25">
      <c r="A22" s="10" t="s">
        <v>82</v>
      </c>
      <c r="B22" s="10" t="s">
        <v>83</v>
      </c>
      <c r="C22" s="10" t="s">
        <v>84</v>
      </c>
      <c r="D22" s="10">
        <v>700</v>
      </c>
      <c r="E22" s="10">
        <v>50</v>
      </c>
      <c r="F22" s="10" t="s">
        <v>27</v>
      </c>
      <c r="G22" s="22" t="b">
        <f t="shared" si="0"/>
        <v>0</v>
      </c>
      <c r="H22" s="10">
        <f t="shared" si="1"/>
        <v>700</v>
      </c>
      <c r="I22" s="30">
        <f t="shared" si="5"/>
        <v>46156</v>
      </c>
      <c r="J22" s="36" t="str">
        <f t="shared" si="2"/>
        <v>RU</v>
      </c>
      <c r="K22" s="27" t="str">
        <f t="shared" si="3"/>
        <v>Nikon Camera</v>
      </c>
      <c r="L22" s="28">
        <f t="shared" si="4"/>
        <v>700</v>
      </c>
      <c r="N22" s="34"/>
    </row>
    <row r="23" spans="1:14" ht="15.75" customHeight="1" x14ac:dyDescent="0.25">
      <c r="A23" s="11" t="s">
        <v>85</v>
      </c>
      <c r="B23" s="11" t="s">
        <v>86</v>
      </c>
      <c r="C23" s="11" t="s">
        <v>87</v>
      </c>
      <c r="D23" s="11">
        <v>80</v>
      </c>
      <c r="E23" s="11">
        <v>20</v>
      </c>
      <c r="F23" s="11" t="s">
        <v>35</v>
      </c>
      <c r="G23" s="22" t="b">
        <f t="shared" si="0"/>
        <v>0</v>
      </c>
      <c r="H23" s="10">
        <f t="shared" si="1"/>
        <v>80</v>
      </c>
      <c r="I23" s="30">
        <f t="shared" si="5"/>
        <v>46031</v>
      </c>
      <c r="J23" s="36" t="str">
        <f t="shared" si="2"/>
        <v>CA</v>
      </c>
      <c r="K23" s="27" t="str">
        <f t="shared" si="3"/>
        <v>Panasonic Microwave</v>
      </c>
      <c r="L23" s="28">
        <f t="shared" si="4"/>
        <v>80</v>
      </c>
      <c r="N23" s="34"/>
    </row>
    <row r="24" spans="1:14" ht="15.75" customHeight="1" x14ac:dyDescent="0.25">
      <c r="A24" s="10" t="s">
        <v>88</v>
      </c>
      <c r="B24" s="10" t="s">
        <v>89</v>
      </c>
      <c r="C24" s="10" t="s">
        <v>90</v>
      </c>
      <c r="D24" s="10">
        <v>150</v>
      </c>
      <c r="E24" s="10">
        <v>30</v>
      </c>
      <c r="F24" s="17" t="s">
        <v>27</v>
      </c>
      <c r="G24" s="22" t="b">
        <f t="shared" si="0"/>
        <v>0</v>
      </c>
      <c r="H24" s="10">
        <f t="shared" si="1"/>
        <v>150</v>
      </c>
      <c r="I24" s="30">
        <f t="shared" si="5"/>
        <v>46222</v>
      </c>
      <c r="J24" s="36" t="str">
        <f t="shared" si="2"/>
        <v>BR</v>
      </c>
      <c r="K24" s="27" t="str">
        <f t="shared" si="3"/>
        <v>Xiaomi Fitness Tracker</v>
      </c>
      <c r="L24" s="28">
        <f t="shared" si="4"/>
        <v>150</v>
      </c>
      <c r="N24" s="34"/>
    </row>
    <row r="25" spans="1:14" ht="15.75" customHeight="1" x14ac:dyDescent="0.25">
      <c r="A25" s="10" t="s">
        <v>91</v>
      </c>
      <c r="B25" s="10" t="s">
        <v>92</v>
      </c>
      <c r="C25" s="10" t="s">
        <v>93</v>
      </c>
      <c r="D25" s="10">
        <v>800</v>
      </c>
      <c r="E25" s="10">
        <v>45</v>
      </c>
      <c r="F25" s="10" t="s">
        <v>27</v>
      </c>
      <c r="G25" s="22" t="b">
        <f t="shared" si="0"/>
        <v>0</v>
      </c>
      <c r="H25" s="10">
        <f t="shared" si="1"/>
        <v>800</v>
      </c>
      <c r="I25" s="30">
        <f t="shared" si="5"/>
        <v>46294</v>
      </c>
      <c r="J25" s="36" t="str">
        <f t="shared" si="2"/>
        <v>CA</v>
      </c>
      <c r="K25" s="27" t="str">
        <f t="shared" si="3"/>
        <v>Google Smartphone</v>
      </c>
      <c r="L25" s="28">
        <f t="shared" si="4"/>
        <v>800</v>
      </c>
      <c r="N25" s="34"/>
    </row>
    <row r="26" spans="1:14" ht="15.75" customHeight="1" x14ac:dyDescent="0.25">
      <c r="A26" s="11" t="s">
        <v>94</v>
      </c>
      <c r="B26" s="11" t="s">
        <v>77</v>
      </c>
      <c r="C26" s="11" t="s">
        <v>95</v>
      </c>
      <c r="D26" s="11"/>
      <c r="E26" s="11">
        <v>25</v>
      </c>
      <c r="F26" s="11" t="s">
        <v>31</v>
      </c>
      <c r="G26" s="22" t="b">
        <f t="shared" si="0"/>
        <v>1</v>
      </c>
      <c r="H26" s="12">
        <f t="shared" si="1"/>
        <v>297.85714285714283</v>
      </c>
      <c r="I26" s="30">
        <f t="shared" si="5"/>
        <v>46176</v>
      </c>
      <c r="J26" s="36" t="str">
        <f t="shared" si="2"/>
        <v>CA</v>
      </c>
      <c r="K26" s="27" t="str">
        <f t="shared" si="3"/>
        <v>Ray-Ban Sunglasses</v>
      </c>
      <c r="L26" s="28">
        <f t="shared" si="4"/>
        <v>297.85714285714283</v>
      </c>
      <c r="N26" s="34"/>
    </row>
    <row r="27" spans="1:14" ht="15.75" customHeight="1" x14ac:dyDescent="0.25">
      <c r="A27" s="10" t="s">
        <v>96</v>
      </c>
      <c r="B27" s="10" t="s">
        <v>48</v>
      </c>
      <c r="C27" s="10" t="s">
        <v>97</v>
      </c>
      <c r="D27" s="10">
        <v>400</v>
      </c>
      <c r="E27" s="10">
        <v>40</v>
      </c>
      <c r="F27" s="10" t="s">
        <v>35</v>
      </c>
      <c r="G27" s="22" t="b">
        <f t="shared" si="0"/>
        <v>0</v>
      </c>
      <c r="H27" s="10">
        <f t="shared" si="1"/>
        <v>400</v>
      </c>
      <c r="I27" s="30">
        <f t="shared" si="5"/>
        <v>46214</v>
      </c>
      <c r="J27" s="36" t="str">
        <f t="shared" si="2"/>
        <v>CA</v>
      </c>
      <c r="K27" s="27" t="str">
        <f t="shared" si="3"/>
        <v>Vitamix Blender</v>
      </c>
      <c r="L27" s="28">
        <f t="shared" si="4"/>
        <v>400</v>
      </c>
      <c r="N27" s="34"/>
    </row>
    <row r="28" spans="1:14" ht="15.75" customHeight="1" x14ac:dyDescent="0.25">
      <c r="A28" s="10" t="s">
        <v>98</v>
      </c>
      <c r="B28" s="10" t="s">
        <v>99</v>
      </c>
      <c r="C28" s="10" t="s">
        <v>100</v>
      </c>
      <c r="D28" s="10">
        <v>60</v>
      </c>
      <c r="E28" s="10">
        <v>30</v>
      </c>
      <c r="F28" s="10" t="s">
        <v>31</v>
      </c>
      <c r="G28" s="22" t="b">
        <f t="shared" si="0"/>
        <v>0</v>
      </c>
      <c r="H28" s="10">
        <f t="shared" si="1"/>
        <v>60</v>
      </c>
      <c r="I28" s="30">
        <f t="shared" si="5"/>
        <v>46088</v>
      </c>
      <c r="J28" s="36" t="str">
        <f t="shared" si="2"/>
        <v>CA</v>
      </c>
      <c r="K28" s="27" t="str">
        <f t="shared" si="3"/>
        <v>Zara Dress</v>
      </c>
      <c r="L28" s="28">
        <f t="shared" si="4"/>
        <v>60</v>
      </c>
      <c r="N28" s="34"/>
    </row>
    <row r="29" spans="1:14" ht="15.75" customHeight="1" x14ac:dyDescent="0.25">
      <c r="A29" s="11" t="s">
        <v>101</v>
      </c>
      <c r="B29" s="11" t="s">
        <v>102</v>
      </c>
      <c r="C29" s="11" t="s">
        <v>103</v>
      </c>
      <c r="D29" s="11">
        <v>40</v>
      </c>
      <c r="E29" s="11">
        <v>10</v>
      </c>
      <c r="F29" s="11" t="s">
        <v>35</v>
      </c>
      <c r="G29" s="22" t="b">
        <f t="shared" si="0"/>
        <v>0</v>
      </c>
      <c r="H29" s="10">
        <f t="shared" si="1"/>
        <v>40</v>
      </c>
      <c r="I29" s="30">
        <f t="shared" si="5"/>
        <v>46125</v>
      </c>
      <c r="J29" s="36" t="str">
        <f t="shared" si="2"/>
        <v>CA</v>
      </c>
      <c r="K29" s="27" t="str">
        <f t="shared" si="3"/>
        <v>Hamilton Toaster</v>
      </c>
      <c r="L29" s="28">
        <f t="shared" si="4"/>
        <v>40</v>
      </c>
      <c r="N29" s="34"/>
    </row>
    <row r="30" spans="1:14" ht="15.75" customHeight="1" x14ac:dyDescent="0.25">
      <c r="A30" s="10" t="s">
        <v>104</v>
      </c>
      <c r="B30" s="10" t="s">
        <v>89</v>
      </c>
      <c r="C30" s="10" t="s">
        <v>105</v>
      </c>
      <c r="D30" s="10">
        <v>130</v>
      </c>
      <c r="E30" s="10">
        <v>5</v>
      </c>
      <c r="F30" s="10" t="s">
        <v>27</v>
      </c>
      <c r="G30" s="22" t="b">
        <f t="shared" si="0"/>
        <v>0</v>
      </c>
      <c r="H30" s="10">
        <f t="shared" si="1"/>
        <v>130</v>
      </c>
      <c r="I30" s="30">
        <f t="shared" si="5"/>
        <v>46166</v>
      </c>
      <c r="J30" s="36" t="str">
        <f t="shared" si="2"/>
        <v>CA</v>
      </c>
      <c r="K30" s="27" t="str">
        <f t="shared" si="3"/>
        <v>Garmin Fitness Tracker</v>
      </c>
      <c r="L30" s="28">
        <f t="shared" si="4"/>
        <v>130</v>
      </c>
      <c r="N30" s="34"/>
    </row>
    <row r="31" spans="1:14" ht="15.75" customHeight="1" x14ac:dyDescent="0.25">
      <c r="A31" s="11" t="s">
        <v>106</v>
      </c>
      <c r="B31" s="11" t="s">
        <v>107</v>
      </c>
      <c r="C31" s="11" t="s">
        <v>108</v>
      </c>
      <c r="D31" s="11">
        <v>50</v>
      </c>
      <c r="E31" s="11">
        <v>50</v>
      </c>
      <c r="F31" s="11" t="s">
        <v>31</v>
      </c>
      <c r="G31" s="22" t="b">
        <f t="shared" si="0"/>
        <v>0</v>
      </c>
      <c r="H31" s="10">
        <f t="shared" si="1"/>
        <v>50</v>
      </c>
      <c r="I31" s="30">
        <f t="shared" si="5"/>
        <v>46358</v>
      </c>
      <c r="J31" s="36" t="str">
        <f t="shared" si="2"/>
        <v>CA</v>
      </c>
      <c r="K31" s="27" t="str">
        <f t="shared" si="3"/>
        <v>Levi's Jeans</v>
      </c>
      <c r="L31" s="28">
        <f t="shared" si="4"/>
        <v>50</v>
      </c>
      <c r="N31" s="34"/>
    </row>
    <row r="32" spans="1:14" ht="15.75" customHeight="1" x14ac:dyDescent="0.25">
      <c r="A32" s="11" t="s">
        <v>109</v>
      </c>
      <c r="B32" s="11" t="s">
        <v>110</v>
      </c>
      <c r="C32" s="11" t="s">
        <v>111</v>
      </c>
      <c r="D32" s="11">
        <v>100</v>
      </c>
      <c r="E32" s="11">
        <v>20</v>
      </c>
      <c r="F32" s="11" t="s">
        <v>71</v>
      </c>
      <c r="G32" s="22" t="b">
        <f t="shared" si="0"/>
        <v>0</v>
      </c>
      <c r="H32" s="10">
        <f t="shared" si="1"/>
        <v>100</v>
      </c>
      <c r="I32" s="30">
        <f t="shared" si="5"/>
        <v>46212</v>
      </c>
      <c r="J32" s="36" t="str">
        <f t="shared" si="2"/>
        <v>FR</v>
      </c>
      <c r="K32" s="27" t="str">
        <f t="shared" si="3"/>
        <v>Casio Watch</v>
      </c>
      <c r="L32" s="28">
        <f t="shared" si="4"/>
        <v>100</v>
      </c>
      <c r="N32" s="34"/>
    </row>
    <row r="33" spans="8:11" ht="15.75" customHeight="1" x14ac:dyDescent="0.25"/>
    <row r="34" spans="8:11" ht="15.75" customHeight="1" x14ac:dyDescent="0.25"/>
    <row r="35" spans="8:11" ht="15.75" customHeight="1" x14ac:dyDescent="0.25"/>
    <row r="36" spans="8:11" ht="15.75" customHeight="1" x14ac:dyDescent="0.25"/>
    <row r="37" spans="8:11" ht="15.75" customHeight="1" x14ac:dyDescent="0.25">
      <c r="H37" s="15"/>
      <c r="I37" t="s">
        <v>114</v>
      </c>
    </row>
    <row r="38" spans="8:11" ht="15.75" customHeight="1" x14ac:dyDescent="0.25">
      <c r="H38" s="16"/>
      <c r="I38" t="s">
        <v>116</v>
      </c>
    </row>
    <row r="39" spans="8:11" ht="15.75" customHeight="1" x14ac:dyDescent="0.25">
      <c r="H39" s="19"/>
      <c r="I39" t="s">
        <v>115</v>
      </c>
    </row>
    <row r="40" spans="8:11" ht="15.75" customHeight="1" x14ac:dyDescent="0.25">
      <c r="H40" s="24"/>
      <c r="I40" s="24"/>
    </row>
    <row r="41" spans="8:11" ht="15.75" customHeight="1" x14ac:dyDescent="0.25">
      <c r="H41" s="23"/>
      <c r="I41" t="s">
        <v>117</v>
      </c>
    </row>
    <row r="42" spans="8:11" ht="15.75" customHeight="1" x14ac:dyDescent="0.25">
      <c r="H42" s="25"/>
      <c r="I42" s="24" t="s">
        <v>120</v>
      </c>
      <c r="K42" s="31" t="s">
        <v>126</v>
      </c>
    </row>
    <row r="43" spans="8:11" ht="15.75" customHeight="1" x14ac:dyDescent="0.25">
      <c r="H43" s="26"/>
      <c r="I43" t="s">
        <v>123</v>
      </c>
    </row>
    <row r="44" spans="8:11" ht="15.75" customHeight="1" x14ac:dyDescent="0.25">
      <c r="H44" s="27"/>
      <c r="I44" t="s">
        <v>122</v>
      </c>
    </row>
    <row r="45" spans="8:11" ht="15.75" customHeight="1" x14ac:dyDescent="0.25">
      <c r="H45" s="29"/>
      <c r="I45" s="31" t="s">
        <v>125</v>
      </c>
    </row>
    <row r="46" spans="8:11" ht="15.75" customHeight="1" x14ac:dyDescent="0.25"/>
    <row r="47" spans="8:11" ht="15.75" customHeight="1" x14ac:dyDescent="0.25"/>
    <row r="48" spans="8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:F32">
    <cfRule type="containsText" dxfId="1" priority="2" operator="containsText" text="Electronics">
      <formula>NOT(ISERROR(SEARCH("Electronics",F2)))</formula>
    </cfRule>
  </conditionalFormatting>
  <conditionalFormatting sqref="H4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{148064CF-4DD0-48E4-B810-204A1EE9BD13}</x14:id>
        </ext>
      </extLst>
    </cfRule>
  </conditionalFormatting>
  <conditionalFormatting sqref="I2:I32">
    <cfRule type="expression" dxfId="0" priority="1">
      <formula>46050</formula>
    </cfRule>
  </conditionalFormatting>
  <conditionalFormatting sqref="L2:L3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{B03A3B9D-6BFD-4B33-917B-0C67ED24B269}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064CF-4DD0-48E4-B810-204A1EE9BD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H46</xm:sqref>
        </x14:conditionalFormatting>
        <x14:conditionalFormatting xmlns:xm="http://schemas.microsoft.com/office/excel/2006/main">
          <x14:cfRule type="dataBar" id="{B03A3B9D-6BFD-4B33-917B-0C67ED24B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L2:L32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Nazareen Mahamood F</dc:creator>
  <cp:lastModifiedBy>Nazareen Mahamood F</cp:lastModifiedBy>
  <dcterms:created xsi:type="dcterms:W3CDTF">2026-07-31T12:23:47Z</dcterms:created>
  <dcterms:modified xsi:type="dcterms:W3CDTF">2026-07-31T12:36:50Z</dcterms:modified>
</cp:coreProperties>
</file>